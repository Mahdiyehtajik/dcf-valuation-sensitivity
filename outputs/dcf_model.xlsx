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00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164" fontId="2" fillId="0" borderId="1" pivotButton="0" quotePrefix="0" xfId="0"/>
    <xf numFmtId="165" fontId="2" fillId="0" borderId="1" pivotButton="0" quotePrefix="0" xfId="0"/>
    <xf numFmtId="10" fontId="2" fillId="0" borderId="1" pivotButton="0" quotePrefix="0" xfId="0"/>
    <xf numFmtId="2" fontId="2" fillId="0" borderId="1" pivotButton="0" quotePrefix="0" xfId="0"/>
    <xf numFmtId="1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165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Last historical revenue</t>
        </is>
      </c>
      <c r="B2" s="2" t="n">
        <v>1200</v>
      </c>
    </row>
    <row r="3">
      <c r="A3" t="inlineStr">
        <is>
          <t>Revenue growth</t>
        </is>
      </c>
      <c r="B3" s="3" t="n">
        <v>0.05</v>
      </c>
    </row>
    <row r="4">
      <c r="A4" t="inlineStr">
        <is>
          <t>EBIT margin</t>
        </is>
      </c>
      <c r="B4" s="3" t="n">
        <v>0.12</v>
      </c>
    </row>
    <row r="5">
      <c r="A5" t="inlineStr">
        <is>
          <t>Tax rate</t>
        </is>
      </c>
      <c r="B5" s="3" t="n">
        <v>0.25</v>
      </c>
    </row>
    <row r="6">
      <c r="A6" t="inlineStr">
        <is>
          <t>D&amp;A % revenue</t>
        </is>
      </c>
      <c r="B6" s="3" t="n">
        <v>0.04</v>
      </c>
    </row>
    <row r="7">
      <c r="A7" t="inlineStr">
        <is>
          <t>Capex % revenue</t>
        </is>
      </c>
      <c r="B7" s="3" t="n">
        <v>0.05</v>
      </c>
    </row>
    <row r="8">
      <c r="A8" t="inlineStr">
        <is>
          <t>NWC % revenue</t>
        </is>
      </c>
      <c r="B8" s="3" t="n">
        <v>0.1</v>
      </c>
    </row>
    <row r="9">
      <c r="A9" t="inlineStr">
        <is>
          <t>Risk-free rate</t>
        </is>
      </c>
      <c r="B9" s="4" t="n">
        <v>0.028</v>
      </c>
    </row>
    <row r="10">
      <c r="A10" t="inlineStr">
        <is>
          <t>Equity risk premium</t>
        </is>
      </c>
      <c r="B10" s="4" t="n">
        <v>0.055</v>
      </c>
    </row>
    <row r="11">
      <c r="A11" t="inlineStr">
        <is>
          <t>Beta</t>
        </is>
      </c>
      <c r="B11" s="5" t="n">
        <v>1.1</v>
      </c>
    </row>
    <row r="12">
      <c r="A12" t="inlineStr">
        <is>
          <t>Pre-tax cost of debt</t>
        </is>
      </c>
      <c r="B12" s="4" t="n">
        <v>0.045</v>
      </c>
    </row>
    <row r="13">
      <c r="A13" t="inlineStr">
        <is>
          <t>Debt weight D/(D+E)</t>
        </is>
      </c>
      <c r="B13" s="3" t="n">
        <v>0.3</v>
      </c>
    </row>
    <row r="14">
      <c r="A14" t="inlineStr">
        <is>
          <t>Terminal growth</t>
        </is>
      </c>
      <c r="B14" s="4" t="n">
        <v>0.02</v>
      </c>
    </row>
    <row r="15">
      <c r="A15" t="inlineStr">
        <is>
          <t>Net debt</t>
        </is>
      </c>
      <c r="B15" s="2" t="n">
        <v>350</v>
      </c>
    </row>
    <row r="16">
      <c r="A16" t="inlineStr">
        <is>
          <t>Shares outstanding</t>
        </is>
      </c>
      <c r="B16" s="2" t="n">
        <v>80</v>
      </c>
    </row>
    <row r="18">
      <c r="A18" s="1" t="inlineStr">
        <is>
          <t>Cost of equity (CAPM)</t>
        </is>
      </c>
      <c r="B18" s="6">
        <f>Inputs!$B$9+Inputs!$B$11*Inputs!$B$10</f>
        <v/>
      </c>
    </row>
    <row r="19">
      <c r="A19" s="1" t="inlineStr">
        <is>
          <t>WACC</t>
        </is>
      </c>
      <c r="B19" s="6">
        <f>(1-Inputs!$B$13)*Inputs!$B$18+Inputs!$B$13*Inputs!$B$12*(1-Inputs!$B$5)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Year</t>
        </is>
      </c>
      <c r="B1" s="7" t="n">
        <v>0</v>
      </c>
      <c r="C1" s="7" t="n">
        <v>1</v>
      </c>
      <c r="D1" s="7" t="n">
        <v>2</v>
      </c>
      <c r="E1" s="7" t="n">
        <v>3</v>
      </c>
      <c r="F1" s="7" t="n">
        <v>4</v>
      </c>
      <c r="G1" s="7" t="n">
        <v>5</v>
      </c>
    </row>
    <row r="2">
      <c r="A2" t="inlineStr">
        <is>
          <t>Revenue</t>
        </is>
      </c>
      <c r="B2" s="8">
        <f>Inputs!$B$2</f>
        <v/>
      </c>
      <c r="C2" s="8">
        <f>B2*(1+Inputs!$B$3)</f>
        <v/>
      </c>
      <c r="D2" s="8">
        <f>C2*(1+Inputs!$B$3)</f>
        <v/>
      </c>
      <c r="E2" s="8">
        <f>D2*(1+Inputs!$B$3)</f>
        <v/>
      </c>
      <c r="F2" s="8">
        <f>E2*(1+Inputs!$B$3)</f>
        <v/>
      </c>
      <c r="G2" s="8">
        <f>F2*(1+Inputs!$B$3)</f>
        <v/>
      </c>
    </row>
    <row r="3">
      <c r="A3" t="inlineStr">
        <is>
          <t>EBIT</t>
        </is>
      </c>
      <c r="B3" s="8" t="n"/>
      <c r="C3" s="8">
        <f>C2*Inputs!$B$4</f>
        <v/>
      </c>
      <c r="D3" s="8">
        <f>D2*Inputs!$B$4</f>
        <v/>
      </c>
      <c r="E3" s="8">
        <f>E2*Inputs!$B$4</f>
        <v/>
      </c>
      <c r="F3" s="8">
        <f>F2*Inputs!$B$4</f>
        <v/>
      </c>
      <c r="G3" s="8">
        <f>G2*Inputs!$B$4</f>
        <v/>
      </c>
    </row>
    <row r="4">
      <c r="A4" t="inlineStr">
        <is>
          <t>NOPAT</t>
        </is>
      </c>
      <c r="B4" s="8" t="n"/>
      <c r="C4" s="8">
        <f>C3*(1-Inputs!$B$5)</f>
        <v/>
      </c>
      <c r="D4" s="8">
        <f>D3*(1-Inputs!$B$5)</f>
        <v/>
      </c>
      <c r="E4" s="8">
        <f>E3*(1-Inputs!$B$5)</f>
        <v/>
      </c>
      <c r="F4" s="8">
        <f>F3*(1-Inputs!$B$5)</f>
        <v/>
      </c>
      <c r="G4" s="8">
        <f>G3*(1-Inputs!$B$5)</f>
        <v/>
      </c>
    </row>
    <row r="5">
      <c r="A5" t="inlineStr">
        <is>
          <t>D&amp;A</t>
        </is>
      </c>
      <c r="B5" s="8" t="n"/>
      <c r="C5" s="8">
        <f>C2*Inputs!$B$6</f>
        <v/>
      </c>
      <c r="D5" s="8">
        <f>D2*Inputs!$B$6</f>
        <v/>
      </c>
      <c r="E5" s="8">
        <f>E2*Inputs!$B$6</f>
        <v/>
      </c>
      <c r="F5" s="8">
        <f>F2*Inputs!$B$6</f>
        <v/>
      </c>
      <c r="G5" s="8">
        <f>G2*Inputs!$B$6</f>
        <v/>
      </c>
    </row>
    <row r="6">
      <c r="A6" t="inlineStr">
        <is>
          <t>Capex</t>
        </is>
      </c>
      <c r="B6" s="8" t="n"/>
      <c r="C6" s="8">
        <f>C2*Inputs!$B$7</f>
        <v/>
      </c>
      <c r="D6" s="8">
        <f>D2*Inputs!$B$7</f>
        <v/>
      </c>
      <c r="E6" s="8">
        <f>E2*Inputs!$B$7</f>
        <v/>
      </c>
      <c r="F6" s="8">
        <f>F2*Inputs!$B$7</f>
        <v/>
      </c>
      <c r="G6" s="8">
        <f>G2*Inputs!$B$7</f>
        <v/>
      </c>
    </row>
    <row r="7">
      <c r="A7" t="inlineStr">
        <is>
          <t>NWC</t>
        </is>
      </c>
      <c r="B7" s="8">
        <f>B2*Inputs!$B$8</f>
        <v/>
      </c>
      <c r="C7" s="8">
        <f>C2*Inputs!$B$8</f>
        <v/>
      </c>
      <c r="D7" s="8">
        <f>D2*Inputs!$B$8</f>
        <v/>
      </c>
      <c r="E7" s="8">
        <f>E2*Inputs!$B$8</f>
        <v/>
      </c>
      <c r="F7" s="8">
        <f>F2*Inputs!$B$8</f>
        <v/>
      </c>
      <c r="G7" s="8">
        <f>G2*Inputs!$B$8</f>
        <v/>
      </c>
    </row>
    <row r="8">
      <c r="A8" t="inlineStr">
        <is>
          <t>Change in NWC</t>
        </is>
      </c>
      <c r="B8" s="8" t="n"/>
      <c r="C8" s="8">
        <f>C7-B7</f>
        <v/>
      </c>
      <c r="D8" s="8">
        <f>D7-C7</f>
        <v/>
      </c>
      <c r="E8" s="8">
        <f>E7-D7</f>
        <v/>
      </c>
      <c r="F8" s="8">
        <f>F7-E7</f>
        <v/>
      </c>
      <c r="G8" s="8">
        <f>G7-F7</f>
        <v/>
      </c>
    </row>
    <row r="9">
      <c r="A9" t="inlineStr">
        <is>
          <t>FCFF</t>
        </is>
      </c>
      <c r="B9" s="8" t="n"/>
      <c r="C9" s="8">
        <f>C4+C5-C6-C8</f>
        <v/>
      </c>
      <c r="D9" s="8">
        <f>D4+D5-D6-D8</f>
        <v/>
      </c>
      <c r="E9" s="8">
        <f>E4+E5-E6-E8</f>
        <v/>
      </c>
      <c r="F9" s="8">
        <f>F4+F5-F6-F8</f>
        <v/>
      </c>
      <c r="G9" s="8">
        <f>G4+G5-G6-G8</f>
        <v/>
      </c>
    </row>
    <row r="10">
      <c r="A10" t="inlineStr">
        <is>
          <t>Discount factor</t>
        </is>
      </c>
      <c r="B10" s="9" t="n"/>
      <c r="C10" s="9">
        <f>(1+Inputs!$B$19)^(-C1)</f>
        <v/>
      </c>
      <c r="D10" s="9">
        <f>(1+Inputs!$B$19)^(-D1)</f>
        <v/>
      </c>
      <c r="E10" s="9">
        <f>(1+Inputs!$B$19)^(-E1)</f>
        <v/>
      </c>
      <c r="F10" s="9">
        <f>(1+Inputs!$B$19)^(-F1)</f>
        <v/>
      </c>
      <c r="G10" s="9">
        <f>(1+Inputs!$B$19)^(-G1)</f>
        <v/>
      </c>
    </row>
    <row r="11">
      <c r="A11" t="inlineStr">
        <is>
          <t>PV of FCFF</t>
        </is>
      </c>
      <c r="B11" s="8" t="n"/>
      <c r="C11" s="8">
        <f>C9*C10</f>
        <v/>
      </c>
      <c r="D11" s="8">
        <f>D9*D10</f>
        <v/>
      </c>
      <c r="E11" s="8">
        <f>E9*E10</f>
        <v/>
      </c>
      <c r="F11" s="8">
        <f>F9*F10</f>
        <v/>
      </c>
      <c r="G11" s="8">
        <f>G9*G10</f>
        <v/>
      </c>
    </row>
    <row r="14">
      <c r="A14" s="1" t="inlineStr">
        <is>
          <t>Sum of PV (explicit period)</t>
        </is>
      </c>
      <c r="B14" s="10">
        <f>SUM(C11:G11)</f>
        <v/>
      </c>
    </row>
    <row r="15">
      <c r="A15" s="1" t="inlineStr">
        <is>
          <t>Terminal value (Gordon)</t>
        </is>
      </c>
      <c r="B15" s="10">
        <f>G9*(1+Inputs!$B$14)/(Inputs!$B$19-Inputs!$B$14)</f>
        <v/>
      </c>
    </row>
    <row r="16">
      <c r="A16" s="1" t="inlineStr">
        <is>
          <t>PV of terminal value</t>
        </is>
      </c>
      <c r="B16" s="10">
        <f>B15*(1+Inputs!$B$19)^(-G1)</f>
        <v/>
      </c>
    </row>
    <row r="17">
      <c r="A17" s="1" t="inlineStr">
        <is>
          <t>Enterprise value</t>
        </is>
      </c>
      <c r="B17" s="10">
        <f>B14+B16</f>
        <v/>
      </c>
    </row>
    <row r="18">
      <c r="A18" s="1" t="inlineStr">
        <is>
          <t>Less: net debt</t>
        </is>
      </c>
      <c r="B18" s="10">
        <f>Inputs!$B$15</f>
        <v/>
      </c>
    </row>
    <row r="19">
      <c r="A19" s="1" t="inlineStr">
        <is>
          <t>Equity value</t>
        </is>
      </c>
      <c r="B19" s="10">
        <f>B17-B18</f>
        <v/>
      </c>
    </row>
    <row r="20">
      <c r="A20" s="1" t="inlineStr">
        <is>
          <t>Value per share</t>
        </is>
      </c>
      <c r="B20" s="10">
        <f>IF(Inputs!$B$16&gt;0,B19/Inputs!$B$16,"n/a")</f>
        <v/>
      </c>
    </row>
    <row r="21">
      <c r="A21" s="1" t="inlineStr">
        <is>
          <t>TV as % of EV</t>
        </is>
      </c>
      <c r="B21" s="11">
        <f>B16/B17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Enterprise value: wacc (rows) x terminal_growth (columns)</t>
        </is>
      </c>
    </row>
    <row r="2">
      <c r="A2" s="12" t="inlineStr">
        <is>
          <t>Static values computed by the Python model (Excel data tables are not written by openpyxl).</t>
        </is>
      </c>
    </row>
    <row r="3">
      <c r="A3" s="1" t="inlineStr">
        <is>
          <t>wacc</t>
        </is>
      </c>
      <c r="B3" s="13" t="n">
        <v>0.01</v>
      </c>
      <c r="C3" s="13" t="n">
        <v>0.015</v>
      </c>
      <c r="D3" s="13" t="n">
        <v>0.02</v>
      </c>
      <c r="E3" s="13" t="n">
        <v>0.025</v>
      </c>
      <c r="F3" s="13" t="n">
        <v>0.03</v>
      </c>
    </row>
    <row r="4">
      <c r="A4" s="13" t="n">
        <v>0.0521</v>
      </c>
      <c r="B4" s="14" t="n">
        <v>2593.201273648399</v>
      </c>
      <c r="C4" s="14" t="n">
        <v>2894.260159515442</v>
      </c>
      <c r="D4" s="14" t="n">
        <v>3289.106860294336</v>
      </c>
      <c r="E4" s="14" t="n">
        <v>3829.653450659538</v>
      </c>
      <c r="F4" s="14" t="n">
        <v>4614.791258384562</v>
      </c>
    </row>
    <row r="5">
      <c r="A5" s="13" t="n">
        <v>0.0621</v>
      </c>
      <c r="B5" s="14" t="n">
        <v>2089.039194436353</v>
      </c>
      <c r="C5" s="14" t="n">
        <v>2273.547224551321</v>
      </c>
      <c r="D5" s="14" t="n">
        <v>2501.881390085522</v>
      </c>
      <c r="E5" s="14" t="n">
        <v>2791.761152798753</v>
      </c>
      <c r="F5" s="14" t="n">
        <v>3171.946137541027</v>
      </c>
    </row>
    <row r="6">
      <c r="A6" s="13" t="n">
        <v>0.0721</v>
      </c>
      <c r="B6" s="14" t="n">
        <v>1747.446890184149</v>
      </c>
      <c r="C6" s="14" t="n">
        <v>1870.435996416483</v>
      </c>
      <c r="D6" s="14" t="n">
        <v>2017.031457012029</v>
      </c>
      <c r="E6" s="14" t="n">
        <v>2194.751219220218</v>
      </c>
      <c r="F6" s="14" t="n">
        <v>2414.684701667882</v>
      </c>
    </row>
    <row r="7">
      <c r="A7" s="13" t="n">
        <v>0.08210000000000001</v>
      </c>
      <c r="B7" s="14" t="n">
        <v>1500.772704947703</v>
      </c>
      <c r="C7" s="14" t="n">
        <v>1587.630372926799</v>
      </c>
      <c r="D7" s="14" t="n">
        <v>1688.474782931514</v>
      </c>
      <c r="E7" s="14" t="n">
        <v>1806.98021045019</v>
      </c>
      <c r="F7" s="14" t="n">
        <v>1948.231401408151</v>
      </c>
    </row>
    <row r="8">
      <c r="A8" s="13" t="n">
        <v>0.0921</v>
      </c>
      <c r="B8" s="14" t="n">
        <v>1314.326011166112</v>
      </c>
      <c r="C8" s="14" t="n">
        <v>1378.31251397076</v>
      </c>
      <c r="D8" s="14" t="n">
        <v>1451.173705097828</v>
      </c>
      <c r="E8" s="14" t="n">
        <v>1534.893494008363</v>
      </c>
      <c r="F8" s="14" t="n">
        <v>1632.094730408517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2026-10-06T14:47:58Z</dcterms:created>
  <dcterms:modified xmlns:dcterms="http://purl.org/dc/terms/" xmlns:xsi="http://www.w3.org/2001/XMLSchema-instance" xsi:type="dcterms:W3CDTF">2026-10-06T14:47:58Z</dcterms:modified>
</cp:coreProperties>
</file>